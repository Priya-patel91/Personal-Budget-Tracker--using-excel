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4" windowWidth="22980" windowHeight="8760" activeTab="2"/>
  </bookViews>
  <sheets>
    <sheet name="Summary" sheetId="6" r:id="rId1"/>
    <sheet name="Savings" sheetId="5" r:id="rId2"/>
    <sheet name="Expenses" sheetId="4" r:id="rId3"/>
    <sheet name="Income" sheetId="1" r:id="rId4"/>
  </sheets>
  <calcPr calcId="144525"/>
</workbook>
</file>

<file path=xl/calcChain.xml><?xml version="1.0" encoding="utf-8"?>
<calcChain xmlns="http://schemas.openxmlformats.org/spreadsheetml/2006/main">
  <c r="E16" i="6" l="1"/>
  <c r="E7" i="6"/>
  <c r="E10" i="6"/>
  <c r="E13" i="6"/>
</calcChain>
</file>

<file path=xl/sharedStrings.xml><?xml version="1.0" encoding="utf-8"?>
<sst xmlns="http://schemas.openxmlformats.org/spreadsheetml/2006/main" count="41" uniqueCount="28">
  <si>
    <t>Personal Budget Tracker</t>
  </si>
  <si>
    <t>Monthly Income:</t>
  </si>
  <si>
    <t>S No.</t>
  </si>
  <si>
    <t>Income Source</t>
  </si>
  <si>
    <t>Data</t>
  </si>
  <si>
    <t>Amount</t>
  </si>
  <si>
    <t>Monthly Expenses:</t>
  </si>
  <si>
    <t>Income From Stocks</t>
  </si>
  <si>
    <t>Income From Rent</t>
  </si>
  <si>
    <t>Salary</t>
  </si>
  <si>
    <t>Income From Interest</t>
  </si>
  <si>
    <t>Income From YouTube</t>
  </si>
  <si>
    <t>Stocks</t>
  </si>
  <si>
    <t>Sip</t>
  </si>
  <si>
    <t>Bank Deposite</t>
  </si>
  <si>
    <t>Car EMI</t>
  </si>
  <si>
    <t>Laptop EMI</t>
  </si>
  <si>
    <t>Moblie Bill</t>
  </si>
  <si>
    <t>Electricity Bill</t>
  </si>
  <si>
    <t>Shopping</t>
  </si>
  <si>
    <t>College Fee</t>
  </si>
  <si>
    <t>Grocery</t>
  </si>
  <si>
    <t>Credit Cards</t>
  </si>
  <si>
    <t>SUMMARY:</t>
  </si>
  <si>
    <t>Percentage of Income spent</t>
  </si>
  <si>
    <t>Monthly Expense:</t>
  </si>
  <si>
    <t>Monthly Saving:</t>
  </si>
  <si>
    <t>Cash Balance: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</si>
</sst>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 tint="0.3999755851924192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/>
    <xf numFmtId="0" fontId="2" fillId="0" borderId="1" xfId="0" applyFont="1" applyBorder="1" applyAlignment="1">
      <alignment horizontal="center"/>
    </xf>
    <xf numFmtId="166" fontId="3" fillId="0" borderId="2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come!A1"/><Relationship Id="rId2" Type="http://schemas.openxmlformats.org/officeDocument/2006/relationships/hyperlink" Target="#Savings!A1"/><Relationship Id="rId1" Type="http://schemas.openxmlformats.org/officeDocument/2006/relationships/hyperlink" Target="#Expens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Summary!A1"/><Relationship Id="rId2" Type="http://schemas.openxmlformats.org/officeDocument/2006/relationships/hyperlink" Target="#Income!A1"/><Relationship Id="rId1" Type="http://schemas.openxmlformats.org/officeDocument/2006/relationships/hyperlink" Target="#Expens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Summary!A1"/><Relationship Id="rId2" Type="http://schemas.openxmlformats.org/officeDocument/2006/relationships/hyperlink" Target="#Income!A1"/><Relationship Id="rId1" Type="http://schemas.openxmlformats.org/officeDocument/2006/relationships/hyperlink" Target="#Saving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Summary!A1"/><Relationship Id="rId2" Type="http://schemas.openxmlformats.org/officeDocument/2006/relationships/hyperlink" Target="#Savings!A1"/><Relationship Id="rId1" Type="http://schemas.openxmlformats.org/officeDocument/2006/relationships/hyperlink" Target="#Expens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182880</xdr:colOff>
      <xdr:row>1</xdr:row>
      <xdr:rowOff>60960</xdr:rowOff>
    </xdr:from>
    <xdr:to>
      <xdr:col>11</xdr:col>
      <xdr:colOff>487680</xdr:colOff>
      <xdr:row>1</xdr:row>
      <xdr:rowOff>335280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553200" y="243840"/>
          <a:ext cx="914400" cy="2743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2">
                  <a:lumMod val="75000"/>
                </a:schemeClr>
              </a:solidFill>
            </a:rPr>
            <a:t>EXPENCES</a:t>
          </a:r>
        </a:p>
      </xdr:txBody>
    </xdr:sp>
    <xdr:clientData/>
  </xdr:twoCellAnchor>
  <xdr:twoCellAnchor>
    <xdr:from>
      <xdr:col>11</xdr:col>
      <xdr:colOff>555172</xdr:colOff>
      <xdr:row>1</xdr:row>
      <xdr:rowOff>60960</xdr:rowOff>
    </xdr:from>
    <xdr:to>
      <xdr:col>13</xdr:col>
      <xdr:colOff>206828</xdr:colOff>
      <xdr:row>1</xdr:row>
      <xdr:rowOff>335280</xdr:rowOff>
    </xdr:to>
    <xdr:sp macro="" textlink="">
      <xdr:nvSpPr>
        <xdr:cNvPr id="3" name="Rounded Rectangle 2">
          <a:hlinkClick xmlns:r="http://schemas.openxmlformats.org/officeDocument/2006/relationships" r:id="rId2"/>
        </xdr:cNvPr>
        <xdr:cNvSpPr/>
      </xdr:nvSpPr>
      <xdr:spPr>
        <a:xfrm>
          <a:off x="7535092" y="243840"/>
          <a:ext cx="870856" cy="2743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2">
                  <a:lumMod val="75000"/>
                </a:schemeClr>
              </a:solidFill>
            </a:rPr>
            <a:t>SAVINGS</a:t>
          </a:r>
        </a:p>
      </xdr:txBody>
    </xdr:sp>
    <xdr:clientData/>
  </xdr:twoCellAnchor>
  <xdr:twoCellAnchor>
    <xdr:from>
      <xdr:col>8</xdr:col>
      <xdr:colOff>381000</xdr:colOff>
      <xdr:row>1</xdr:row>
      <xdr:rowOff>60960</xdr:rowOff>
    </xdr:from>
    <xdr:to>
      <xdr:col>10</xdr:col>
      <xdr:colOff>97970</xdr:colOff>
      <xdr:row>1</xdr:row>
      <xdr:rowOff>335280</xdr:rowOff>
    </xdr:to>
    <xdr:sp macro="" textlink="">
      <xdr:nvSpPr>
        <xdr:cNvPr id="4" name="Rounded Rectangle 3">
          <a:hlinkClick xmlns:r="http://schemas.openxmlformats.org/officeDocument/2006/relationships" r:id="rId3"/>
        </xdr:cNvPr>
        <xdr:cNvSpPr/>
      </xdr:nvSpPr>
      <xdr:spPr>
        <a:xfrm>
          <a:off x="5532120" y="243840"/>
          <a:ext cx="936170" cy="2743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2">
                  <a:lumMod val="75000"/>
                </a:schemeClr>
              </a:solidFill>
            </a:rPr>
            <a:t>INCOME</a:t>
          </a:r>
        </a:p>
      </xdr:txBody>
    </xdr:sp>
    <xdr:clientData/>
  </xdr:twoCellAnchor>
  <xdr:twoCellAnchor>
    <xdr:from>
      <xdr:col>6</xdr:col>
      <xdr:colOff>587828</xdr:colOff>
      <xdr:row>1</xdr:row>
      <xdr:rowOff>60960</xdr:rowOff>
    </xdr:from>
    <xdr:to>
      <xdr:col>8</xdr:col>
      <xdr:colOff>283027</xdr:colOff>
      <xdr:row>1</xdr:row>
      <xdr:rowOff>335280</xdr:rowOff>
    </xdr:to>
    <xdr:sp macro="" textlink="">
      <xdr:nvSpPr>
        <xdr:cNvPr id="5" name="Rounded Rectangle 4"/>
        <xdr:cNvSpPr/>
      </xdr:nvSpPr>
      <xdr:spPr>
        <a:xfrm>
          <a:off x="4519748" y="243840"/>
          <a:ext cx="914399" cy="27432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2">
                  <a:lumMod val="75000"/>
                </a:schemeClr>
              </a:solidFill>
            </a:rPr>
            <a:t>SUMMARY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182880</xdr:colOff>
      <xdr:row>1</xdr:row>
      <xdr:rowOff>60960</xdr:rowOff>
    </xdr:from>
    <xdr:to>
      <xdr:col>11</xdr:col>
      <xdr:colOff>487680</xdr:colOff>
      <xdr:row>1</xdr:row>
      <xdr:rowOff>335280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6553200" y="243840"/>
          <a:ext cx="914400" cy="2743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2">
                  <a:lumMod val="75000"/>
                </a:schemeClr>
              </a:solidFill>
            </a:rPr>
            <a:t>EXPENCES</a:t>
          </a:r>
        </a:p>
      </xdr:txBody>
    </xdr:sp>
    <xdr:clientData/>
  </xdr:twoCellAnchor>
  <xdr:twoCellAnchor>
    <xdr:from>
      <xdr:col>11</xdr:col>
      <xdr:colOff>555172</xdr:colOff>
      <xdr:row>1</xdr:row>
      <xdr:rowOff>60960</xdr:rowOff>
    </xdr:from>
    <xdr:to>
      <xdr:col>13</xdr:col>
      <xdr:colOff>206828</xdr:colOff>
      <xdr:row>1</xdr:row>
      <xdr:rowOff>335280</xdr:rowOff>
    </xdr:to>
    <xdr:sp macro="" textlink="">
      <xdr:nvSpPr>
        <xdr:cNvPr id="3" name="Rounded Rectangle 2"/>
        <xdr:cNvSpPr/>
      </xdr:nvSpPr>
      <xdr:spPr>
        <a:xfrm>
          <a:off x="7535092" y="243840"/>
          <a:ext cx="870856" cy="27432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2">
                  <a:lumMod val="75000"/>
                </a:schemeClr>
              </a:solidFill>
            </a:rPr>
            <a:t>SAVINGS</a:t>
          </a:r>
        </a:p>
      </xdr:txBody>
    </xdr:sp>
    <xdr:clientData/>
  </xdr:twoCellAnchor>
  <xdr:twoCellAnchor>
    <xdr:from>
      <xdr:col>8</xdr:col>
      <xdr:colOff>381000</xdr:colOff>
      <xdr:row>1</xdr:row>
      <xdr:rowOff>60960</xdr:rowOff>
    </xdr:from>
    <xdr:to>
      <xdr:col>10</xdr:col>
      <xdr:colOff>97970</xdr:colOff>
      <xdr:row>1</xdr:row>
      <xdr:rowOff>335280</xdr:rowOff>
    </xdr:to>
    <xdr:sp macro="" textlink="">
      <xdr:nvSpPr>
        <xdr:cNvPr id="4" name="Rounded Rectangle 3">
          <a:hlinkClick xmlns:r="http://schemas.openxmlformats.org/officeDocument/2006/relationships" r:id="rId2"/>
        </xdr:cNvPr>
        <xdr:cNvSpPr/>
      </xdr:nvSpPr>
      <xdr:spPr>
        <a:xfrm>
          <a:off x="5532120" y="243840"/>
          <a:ext cx="936170" cy="2743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2">
                  <a:lumMod val="75000"/>
                </a:schemeClr>
              </a:solidFill>
            </a:rPr>
            <a:t>INCOME</a:t>
          </a:r>
        </a:p>
      </xdr:txBody>
    </xdr:sp>
    <xdr:clientData/>
  </xdr:twoCellAnchor>
  <xdr:twoCellAnchor>
    <xdr:from>
      <xdr:col>6</xdr:col>
      <xdr:colOff>218662</xdr:colOff>
      <xdr:row>1</xdr:row>
      <xdr:rowOff>46383</xdr:rowOff>
    </xdr:from>
    <xdr:to>
      <xdr:col>8</xdr:col>
      <xdr:colOff>283028</xdr:colOff>
      <xdr:row>1</xdr:row>
      <xdr:rowOff>335280</xdr:rowOff>
    </xdr:to>
    <xdr:sp macro="" textlink="">
      <xdr:nvSpPr>
        <xdr:cNvPr id="5" name="Rounded Rectangle 4">
          <a:hlinkClick xmlns:r="http://schemas.openxmlformats.org/officeDocument/2006/relationships" r:id="rId3"/>
        </xdr:cNvPr>
        <xdr:cNvSpPr/>
      </xdr:nvSpPr>
      <xdr:spPr>
        <a:xfrm>
          <a:off x="3969027" y="231913"/>
          <a:ext cx="972140" cy="288897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2">
                  <a:lumMod val="75000"/>
                </a:schemeClr>
              </a:solidFill>
            </a:rPr>
            <a:t>SUMMARY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182880</xdr:colOff>
      <xdr:row>1</xdr:row>
      <xdr:rowOff>60960</xdr:rowOff>
    </xdr:from>
    <xdr:to>
      <xdr:col>11</xdr:col>
      <xdr:colOff>487680</xdr:colOff>
      <xdr:row>1</xdr:row>
      <xdr:rowOff>335280</xdr:rowOff>
    </xdr:to>
    <xdr:sp macro="" textlink="">
      <xdr:nvSpPr>
        <xdr:cNvPr id="2" name="Rounded Rectangle 1"/>
        <xdr:cNvSpPr/>
      </xdr:nvSpPr>
      <xdr:spPr>
        <a:xfrm>
          <a:off x="6553200" y="243840"/>
          <a:ext cx="914400" cy="27432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2">
                  <a:lumMod val="75000"/>
                </a:schemeClr>
              </a:solidFill>
            </a:rPr>
            <a:t>EXPENCES</a:t>
          </a:r>
        </a:p>
      </xdr:txBody>
    </xdr:sp>
    <xdr:clientData/>
  </xdr:twoCellAnchor>
  <xdr:twoCellAnchor>
    <xdr:from>
      <xdr:col>11</xdr:col>
      <xdr:colOff>555172</xdr:colOff>
      <xdr:row>1</xdr:row>
      <xdr:rowOff>60960</xdr:rowOff>
    </xdr:from>
    <xdr:to>
      <xdr:col>13</xdr:col>
      <xdr:colOff>206828</xdr:colOff>
      <xdr:row>1</xdr:row>
      <xdr:rowOff>335280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7535092" y="243840"/>
          <a:ext cx="870856" cy="2743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2">
                  <a:lumMod val="75000"/>
                </a:schemeClr>
              </a:solidFill>
            </a:rPr>
            <a:t>SAVINGS</a:t>
          </a:r>
        </a:p>
      </xdr:txBody>
    </xdr:sp>
    <xdr:clientData/>
  </xdr:twoCellAnchor>
  <xdr:twoCellAnchor>
    <xdr:from>
      <xdr:col>8</xdr:col>
      <xdr:colOff>381000</xdr:colOff>
      <xdr:row>1</xdr:row>
      <xdr:rowOff>60960</xdr:rowOff>
    </xdr:from>
    <xdr:to>
      <xdr:col>10</xdr:col>
      <xdr:colOff>97970</xdr:colOff>
      <xdr:row>1</xdr:row>
      <xdr:rowOff>335280</xdr:rowOff>
    </xdr:to>
    <xdr:sp macro="" textlink="">
      <xdr:nvSpPr>
        <xdr:cNvPr id="4" name="Rounded Rectangle 3">
          <a:hlinkClick xmlns:r="http://schemas.openxmlformats.org/officeDocument/2006/relationships" r:id="rId2"/>
        </xdr:cNvPr>
        <xdr:cNvSpPr/>
      </xdr:nvSpPr>
      <xdr:spPr>
        <a:xfrm>
          <a:off x="5532120" y="243840"/>
          <a:ext cx="936170" cy="2743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2">
                  <a:lumMod val="75000"/>
                </a:schemeClr>
              </a:solidFill>
            </a:rPr>
            <a:t>INCOME</a:t>
          </a:r>
        </a:p>
      </xdr:txBody>
    </xdr:sp>
    <xdr:clientData/>
  </xdr:twoCellAnchor>
  <xdr:twoCellAnchor>
    <xdr:from>
      <xdr:col>6</xdr:col>
      <xdr:colOff>79514</xdr:colOff>
      <xdr:row>1</xdr:row>
      <xdr:rowOff>60960</xdr:rowOff>
    </xdr:from>
    <xdr:to>
      <xdr:col>8</xdr:col>
      <xdr:colOff>283028</xdr:colOff>
      <xdr:row>1</xdr:row>
      <xdr:rowOff>335280</xdr:rowOff>
    </xdr:to>
    <xdr:sp macro="" textlink="">
      <xdr:nvSpPr>
        <xdr:cNvPr id="5" name="Rounded Rectangle 4">
          <a:hlinkClick xmlns:r="http://schemas.openxmlformats.org/officeDocument/2006/relationships" r:id="rId3"/>
        </xdr:cNvPr>
        <xdr:cNvSpPr/>
      </xdr:nvSpPr>
      <xdr:spPr>
        <a:xfrm>
          <a:off x="3896140" y="246490"/>
          <a:ext cx="965514" cy="2743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2">
                  <a:lumMod val="75000"/>
                </a:schemeClr>
              </a:solidFill>
            </a:rPr>
            <a:t>SUMMARY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182880</xdr:colOff>
      <xdr:row>1</xdr:row>
      <xdr:rowOff>60960</xdr:rowOff>
    </xdr:from>
    <xdr:to>
      <xdr:col>11</xdr:col>
      <xdr:colOff>487680</xdr:colOff>
      <xdr:row>1</xdr:row>
      <xdr:rowOff>335280</xdr:rowOff>
    </xdr:to>
    <xdr:sp macro="" textlink="">
      <xdr:nvSpPr>
        <xdr:cNvPr id="8" name="Rounded Rectangle 7">
          <a:hlinkClick xmlns:r="http://schemas.openxmlformats.org/officeDocument/2006/relationships" r:id="rId1"/>
        </xdr:cNvPr>
        <xdr:cNvSpPr/>
      </xdr:nvSpPr>
      <xdr:spPr>
        <a:xfrm>
          <a:off x="7132320" y="243840"/>
          <a:ext cx="914400" cy="2743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2">
                  <a:lumMod val="75000"/>
                </a:schemeClr>
              </a:solidFill>
            </a:rPr>
            <a:t>EXPENCES</a:t>
          </a:r>
        </a:p>
      </xdr:txBody>
    </xdr:sp>
    <xdr:clientData/>
  </xdr:twoCellAnchor>
  <xdr:twoCellAnchor>
    <xdr:from>
      <xdr:col>11</xdr:col>
      <xdr:colOff>555172</xdr:colOff>
      <xdr:row>1</xdr:row>
      <xdr:rowOff>60960</xdr:rowOff>
    </xdr:from>
    <xdr:to>
      <xdr:col>13</xdr:col>
      <xdr:colOff>206828</xdr:colOff>
      <xdr:row>1</xdr:row>
      <xdr:rowOff>335280</xdr:rowOff>
    </xdr:to>
    <xdr:sp macro="" textlink="">
      <xdr:nvSpPr>
        <xdr:cNvPr id="9" name="Rounded Rectangle 8">
          <a:hlinkClick xmlns:r="http://schemas.openxmlformats.org/officeDocument/2006/relationships" r:id="rId2"/>
        </xdr:cNvPr>
        <xdr:cNvSpPr/>
      </xdr:nvSpPr>
      <xdr:spPr>
        <a:xfrm>
          <a:off x="8109858" y="246017"/>
          <a:ext cx="870856" cy="2743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2">
                  <a:lumMod val="75000"/>
                </a:schemeClr>
              </a:solidFill>
            </a:rPr>
            <a:t>SAVINGS</a:t>
          </a:r>
        </a:p>
      </xdr:txBody>
    </xdr:sp>
    <xdr:clientData/>
  </xdr:twoCellAnchor>
  <xdr:twoCellAnchor>
    <xdr:from>
      <xdr:col>8</xdr:col>
      <xdr:colOff>381000</xdr:colOff>
      <xdr:row>1</xdr:row>
      <xdr:rowOff>60960</xdr:rowOff>
    </xdr:from>
    <xdr:to>
      <xdr:col>10</xdr:col>
      <xdr:colOff>97970</xdr:colOff>
      <xdr:row>1</xdr:row>
      <xdr:rowOff>335280</xdr:rowOff>
    </xdr:to>
    <xdr:sp macro="" textlink="">
      <xdr:nvSpPr>
        <xdr:cNvPr id="10" name="Rounded Rectangle 9"/>
        <xdr:cNvSpPr/>
      </xdr:nvSpPr>
      <xdr:spPr>
        <a:xfrm>
          <a:off x="6106886" y="246017"/>
          <a:ext cx="936170" cy="27432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2">
                  <a:lumMod val="75000"/>
                </a:schemeClr>
              </a:solidFill>
            </a:rPr>
            <a:t>INCOME</a:t>
          </a:r>
        </a:p>
      </xdr:txBody>
    </xdr:sp>
    <xdr:clientData/>
  </xdr:twoCellAnchor>
  <xdr:twoCellAnchor>
    <xdr:from>
      <xdr:col>6</xdr:col>
      <xdr:colOff>229688</xdr:colOff>
      <xdr:row>1</xdr:row>
      <xdr:rowOff>60960</xdr:rowOff>
    </xdr:from>
    <xdr:to>
      <xdr:col>8</xdr:col>
      <xdr:colOff>331305</xdr:colOff>
      <xdr:row>1</xdr:row>
      <xdr:rowOff>335280</xdr:rowOff>
    </xdr:to>
    <xdr:sp macro="" textlink="">
      <xdr:nvSpPr>
        <xdr:cNvPr id="11" name="Rounded Rectangle 10">
          <a:hlinkClick xmlns:r="http://schemas.openxmlformats.org/officeDocument/2006/relationships" r:id="rId3"/>
        </xdr:cNvPr>
        <xdr:cNvSpPr/>
      </xdr:nvSpPr>
      <xdr:spPr>
        <a:xfrm>
          <a:off x="3993305" y="246490"/>
          <a:ext cx="943130" cy="27432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tx2">
                  <a:lumMod val="75000"/>
                </a:schemeClr>
              </a:solidFill>
            </a:rPr>
            <a:t>SUMMARY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3" name="Table134" displayName="Table134" ref="B6:E9" totalsRowShown="0">
  <autoFilter ref="B6:E9"/>
  <tableColumns count="4">
    <tableColumn id="1" name="S No."/>
    <tableColumn id="2" name="Income Source"/>
    <tableColumn id="3" name="Data"/>
    <tableColumn id="4" name="Amount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B6:E14" totalsRowShown="0">
  <autoFilter ref="B6:E14"/>
  <tableColumns count="4">
    <tableColumn id="1" name="S No."/>
    <tableColumn id="2" name="Income Source"/>
    <tableColumn id="3" name="Data"/>
    <tableColumn id="4" name="Amount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B6:E11" totalsRowShown="0">
  <autoFilter ref="B6:E11"/>
  <tableColumns count="4">
    <tableColumn id="1" name="S No."/>
    <tableColumn id="2" name="Income Source"/>
    <tableColumn id="3" name="Data"/>
    <tableColumn id="4" name="Amount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6"/>
  <sheetViews>
    <sheetView zoomScale="115" zoomScaleNormal="115" workbookViewId="0">
      <selection activeCell="E10" sqref="E10:F10"/>
    </sheetView>
  </sheetViews>
  <sheetFormatPr defaultRowHeight="14.4" x14ac:dyDescent="0.3"/>
  <cols>
    <col min="1" max="1" width="3.5546875" customWidth="1"/>
    <col min="3" max="3" width="17.88671875" customWidth="1"/>
    <col min="5" max="5" width="13.21875" customWidth="1"/>
  </cols>
  <sheetData>
    <row r="2" spans="1:14" ht="34.200000000000003" customHeight="1" x14ac:dyDescent="0.3">
      <c r="A2" s="1"/>
      <c r="B2" s="2" t="s">
        <v>0</v>
      </c>
      <c r="C2" s="2"/>
      <c r="D2" s="2"/>
      <c r="E2" s="1"/>
      <c r="F2" s="1"/>
      <c r="G2" s="1"/>
      <c r="H2" s="3"/>
      <c r="I2" s="3"/>
      <c r="J2" s="3"/>
      <c r="K2" s="3"/>
      <c r="L2" s="3"/>
      <c r="M2" s="3"/>
      <c r="N2" s="3"/>
    </row>
    <row r="4" spans="1:14" x14ac:dyDescent="0.3">
      <c r="A4" s="5" t="s">
        <v>24</v>
      </c>
      <c r="B4" s="5"/>
      <c r="C4" s="5"/>
      <c r="E4" s="4" t="s">
        <v>23</v>
      </c>
      <c r="F4" s="4"/>
    </row>
    <row r="6" spans="1:14" x14ac:dyDescent="0.3">
      <c r="E6" s="8" t="s">
        <v>1</v>
      </c>
      <c r="F6" s="8"/>
      <c r="G6" s="7"/>
    </row>
    <row r="7" spans="1:14" ht="15.6" customHeight="1" x14ac:dyDescent="0.3">
      <c r="E7" s="9">
        <f>SUM(Table1[Amount])</f>
        <v>82000</v>
      </c>
      <c r="F7" s="9"/>
    </row>
    <row r="9" spans="1:14" x14ac:dyDescent="0.3">
      <c r="E9" s="8" t="s">
        <v>25</v>
      </c>
      <c r="F9" s="8"/>
      <c r="G9" s="7"/>
    </row>
    <row r="10" spans="1:14" ht="15.6" customHeight="1" x14ac:dyDescent="0.3">
      <c r="E10" s="9">
        <f>SUM(Table13[Data])</f>
        <v>368212</v>
      </c>
      <c r="F10" s="9"/>
    </row>
    <row r="12" spans="1:14" x14ac:dyDescent="0.3">
      <c r="E12" s="8" t="s">
        <v>26</v>
      </c>
      <c r="F12" s="8"/>
      <c r="G12" s="7"/>
    </row>
    <row r="13" spans="1:14" ht="15.6" x14ac:dyDescent="0.3">
      <c r="E13" s="9">
        <f>SUM(Table134[Amount])</f>
        <v>34999</v>
      </c>
      <c r="F13" s="9"/>
    </row>
    <row r="15" spans="1:14" x14ac:dyDescent="0.3">
      <c r="E15" s="8" t="s">
        <v>27</v>
      </c>
      <c r="F15" s="8"/>
      <c r="G15" s="7"/>
    </row>
    <row r="16" spans="1:14" x14ac:dyDescent="0.3">
      <c r="E16" s="11">
        <f>E7-E10-E13</f>
        <v>-321211</v>
      </c>
      <c r="F16" s="10"/>
    </row>
  </sheetData>
  <mergeCells count="9">
    <mergeCell ref="E15:F15"/>
    <mergeCell ref="E16:F16"/>
    <mergeCell ref="A4:C4"/>
    <mergeCell ref="E6:F6"/>
    <mergeCell ref="E7:F7"/>
    <mergeCell ref="E9:F9"/>
    <mergeCell ref="E10:F10"/>
    <mergeCell ref="E12:F12"/>
    <mergeCell ref="E13:F1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9"/>
  <sheetViews>
    <sheetView zoomScale="115" zoomScaleNormal="115" workbookViewId="0"/>
  </sheetViews>
  <sheetFormatPr defaultRowHeight="14.4" x14ac:dyDescent="0.3"/>
  <cols>
    <col min="1" max="1" width="3.5546875" customWidth="1"/>
    <col min="3" max="3" width="17.88671875" customWidth="1"/>
    <col min="4" max="4" width="10.5546875" bestFit="1" customWidth="1"/>
    <col min="5" max="5" width="9.21875" customWidth="1"/>
    <col min="6" max="6" width="4.6640625" customWidth="1"/>
    <col min="7" max="7" width="4.33203125" customWidth="1"/>
  </cols>
  <sheetData>
    <row r="2" spans="1:14" ht="34.200000000000003" customHeight="1" x14ac:dyDescent="0.3">
      <c r="A2" s="1"/>
      <c r="B2" s="2" t="s">
        <v>0</v>
      </c>
      <c r="C2" s="2"/>
      <c r="D2" s="2"/>
      <c r="E2" s="1"/>
      <c r="F2" s="1"/>
      <c r="G2" s="1"/>
      <c r="H2" s="3"/>
      <c r="I2" s="3"/>
      <c r="J2" s="3"/>
      <c r="K2" s="3"/>
      <c r="L2" s="3"/>
      <c r="M2" s="3"/>
      <c r="N2" s="3"/>
    </row>
    <row r="4" spans="1:14" x14ac:dyDescent="0.3">
      <c r="B4" s="5" t="s">
        <v>6</v>
      </c>
      <c r="C4" s="5"/>
    </row>
    <row r="6" spans="1:14" x14ac:dyDescent="0.3">
      <c r="B6" t="s">
        <v>2</v>
      </c>
      <c r="C6" t="s">
        <v>3</v>
      </c>
      <c r="D6" t="s">
        <v>4</v>
      </c>
      <c r="E6" t="s">
        <v>5</v>
      </c>
    </row>
    <row r="7" spans="1:14" x14ac:dyDescent="0.3">
      <c r="B7">
        <v>1</v>
      </c>
      <c r="C7" t="s">
        <v>12</v>
      </c>
      <c r="D7" s="6">
        <v>46023</v>
      </c>
      <c r="E7">
        <v>5000</v>
      </c>
    </row>
    <row r="8" spans="1:14" x14ac:dyDescent="0.3">
      <c r="B8">
        <v>2</v>
      </c>
      <c r="C8" t="s">
        <v>13</v>
      </c>
      <c r="D8" s="6">
        <v>46027</v>
      </c>
      <c r="E8">
        <v>7999</v>
      </c>
    </row>
    <row r="9" spans="1:14" x14ac:dyDescent="0.3">
      <c r="B9">
        <v>3</v>
      </c>
      <c r="C9" t="s">
        <v>14</v>
      </c>
      <c r="D9" s="6">
        <v>46042</v>
      </c>
      <c r="E9">
        <v>22000</v>
      </c>
    </row>
  </sheetData>
  <mergeCells count="1">
    <mergeCell ref="B4:C4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4"/>
  <sheetViews>
    <sheetView tabSelected="1" zoomScale="115" zoomScaleNormal="115" workbookViewId="0">
      <selection activeCell="L7" sqref="L7"/>
    </sheetView>
  </sheetViews>
  <sheetFormatPr defaultRowHeight="14.4" x14ac:dyDescent="0.3"/>
  <cols>
    <col min="1" max="1" width="3.5546875" customWidth="1"/>
    <col min="3" max="3" width="22.33203125" customWidth="1"/>
    <col min="4" max="4" width="10.5546875" bestFit="1" customWidth="1"/>
    <col min="5" max="5" width="9.21875" customWidth="1"/>
    <col min="6" max="6" width="2.77734375" customWidth="1"/>
    <col min="7" max="7" width="2.21875" customWidth="1"/>
  </cols>
  <sheetData>
    <row r="2" spans="1:14" ht="34.200000000000003" customHeight="1" x14ac:dyDescent="0.3">
      <c r="A2" s="1"/>
      <c r="B2" s="2" t="s">
        <v>0</v>
      </c>
      <c r="C2" s="2"/>
      <c r="D2" s="2"/>
      <c r="E2" s="1"/>
      <c r="F2" s="1"/>
      <c r="G2" s="1"/>
      <c r="H2" s="3"/>
      <c r="I2" s="3"/>
      <c r="J2" s="3"/>
      <c r="K2" s="3"/>
      <c r="L2" s="3"/>
      <c r="M2" s="3"/>
      <c r="N2" s="3"/>
    </row>
    <row r="4" spans="1:14" x14ac:dyDescent="0.3">
      <c r="B4" s="5" t="s">
        <v>6</v>
      </c>
      <c r="C4" s="5"/>
    </row>
    <row r="6" spans="1:14" x14ac:dyDescent="0.3">
      <c r="B6" t="s">
        <v>2</v>
      </c>
      <c r="C6" t="s">
        <v>3</v>
      </c>
      <c r="D6" t="s">
        <v>4</v>
      </c>
      <c r="E6" t="s">
        <v>5</v>
      </c>
    </row>
    <row r="7" spans="1:14" x14ac:dyDescent="0.3">
      <c r="B7">
        <v>1</v>
      </c>
      <c r="C7" t="s">
        <v>15</v>
      </c>
      <c r="D7" s="6">
        <v>46023</v>
      </c>
      <c r="E7">
        <v>10000</v>
      </c>
    </row>
    <row r="8" spans="1:14" x14ac:dyDescent="0.3">
      <c r="B8">
        <v>2</v>
      </c>
      <c r="C8" t="s">
        <v>16</v>
      </c>
      <c r="D8" s="6">
        <v>46024</v>
      </c>
    </row>
    <row r="9" spans="1:14" x14ac:dyDescent="0.3">
      <c r="B9">
        <v>3</v>
      </c>
      <c r="C9" t="s">
        <v>17</v>
      </c>
      <c r="D9" s="6">
        <v>46025</v>
      </c>
    </row>
    <row r="10" spans="1:14" x14ac:dyDescent="0.3">
      <c r="B10">
        <v>4</v>
      </c>
      <c r="C10" t="s">
        <v>18</v>
      </c>
      <c r="D10" s="6">
        <v>46026</v>
      </c>
    </row>
    <row r="11" spans="1:14" x14ac:dyDescent="0.3">
      <c r="B11">
        <v>5</v>
      </c>
      <c r="C11" t="s">
        <v>19</v>
      </c>
      <c r="D11" s="6">
        <v>46027</v>
      </c>
    </row>
    <row r="12" spans="1:14" x14ac:dyDescent="0.3">
      <c r="B12">
        <v>6</v>
      </c>
      <c r="C12" t="s">
        <v>20</v>
      </c>
      <c r="D12" s="6">
        <v>46028</v>
      </c>
    </row>
    <row r="13" spans="1:14" x14ac:dyDescent="0.3">
      <c r="B13">
        <v>7</v>
      </c>
      <c r="C13" t="s">
        <v>21</v>
      </c>
      <c r="D13" s="6">
        <v>46029</v>
      </c>
    </row>
    <row r="14" spans="1:14" x14ac:dyDescent="0.3">
      <c r="B14">
        <v>8</v>
      </c>
      <c r="C14" t="s">
        <v>22</v>
      </c>
      <c r="D14" s="6">
        <v>46030</v>
      </c>
    </row>
  </sheetData>
  <mergeCells count="1">
    <mergeCell ref="B4:C4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1"/>
  <sheetViews>
    <sheetView zoomScale="115" zoomScaleNormal="115" workbookViewId="0"/>
  </sheetViews>
  <sheetFormatPr defaultRowHeight="14.4" x14ac:dyDescent="0.3"/>
  <cols>
    <col min="1" max="1" width="3.5546875" customWidth="1"/>
    <col min="3" max="3" width="17.88671875" customWidth="1"/>
    <col min="4" max="4" width="11.88671875" customWidth="1"/>
    <col min="5" max="5" width="9.21875" customWidth="1"/>
    <col min="6" max="6" width="3.44140625" customWidth="1"/>
    <col min="7" max="7" width="3.33203125" customWidth="1"/>
  </cols>
  <sheetData>
    <row r="2" spans="1:14" ht="34.200000000000003" customHeight="1" x14ac:dyDescent="0.3">
      <c r="A2" s="1"/>
      <c r="B2" s="2" t="s">
        <v>0</v>
      </c>
      <c r="C2" s="2"/>
      <c r="D2" s="2"/>
      <c r="E2" s="1"/>
      <c r="F2" s="1"/>
      <c r="G2" s="1"/>
      <c r="H2" s="3"/>
      <c r="I2" s="3"/>
      <c r="J2" s="3"/>
      <c r="K2" s="3"/>
      <c r="L2" s="3"/>
      <c r="M2" s="3"/>
      <c r="N2" s="3"/>
    </row>
    <row r="4" spans="1:14" x14ac:dyDescent="0.3">
      <c r="B4" t="s">
        <v>1</v>
      </c>
    </row>
    <row r="6" spans="1:14" x14ac:dyDescent="0.3">
      <c r="B6" t="s">
        <v>2</v>
      </c>
      <c r="C6" t="s">
        <v>3</v>
      </c>
      <c r="D6" t="s">
        <v>4</v>
      </c>
      <c r="E6" t="s">
        <v>5</v>
      </c>
    </row>
    <row r="7" spans="1:14" x14ac:dyDescent="0.3">
      <c r="B7">
        <v>1</v>
      </c>
      <c r="C7" t="s">
        <v>7</v>
      </c>
      <c r="D7" s="6">
        <v>46023</v>
      </c>
      <c r="E7">
        <v>10000</v>
      </c>
    </row>
    <row r="8" spans="1:14" x14ac:dyDescent="0.3">
      <c r="B8">
        <v>2</v>
      </c>
      <c r="C8" t="s">
        <v>8</v>
      </c>
      <c r="D8" s="6">
        <v>46082</v>
      </c>
      <c r="E8">
        <v>20000</v>
      </c>
    </row>
    <row r="9" spans="1:14" x14ac:dyDescent="0.3">
      <c r="B9">
        <v>3</v>
      </c>
      <c r="C9" t="s">
        <v>9</v>
      </c>
      <c r="D9" s="6">
        <v>46143</v>
      </c>
      <c r="E9">
        <v>20000</v>
      </c>
    </row>
    <row r="10" spans="1:14" x14ac:dyDescent="0.3">
      <c r="B10">
        <v>4</v>
      </c>
      <c r="C10" t="s">
        <v>10</v>
      </c>
      <c r="D10" s="6">
        <v>46034</v>
      </c>
      <c r="E10">
        <v>12000</v>
      </c>
    </row>
    <row r="11" spans="1:14" x14ac:dyDescent="0.3">
      <c r="B11">
        <v>5</v>
      </c>
      <c r="C11" t="s">
        <v>11</v>
      </c>
      <c r="D11" s="6">
        <v>46046</v>
      </c>
      <c r="E11">
        <v>20000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Savings</vt:lpstr>
      <vt:lpstr>Expenses</vt:lpstr>
      <vt:lpstr>Income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2026-03-30T10:33:38Z</dcterms:created>
  <dcterms:modified xsi:type="dcterms:W3CDTF">2026-03-30T12:22:08Z</dcterms:modified>
</cp:coreProperties>
</file>